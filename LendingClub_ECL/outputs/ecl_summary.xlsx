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CL_by_grade" sheetId="2" state="visible" r:id="rId2"/>
    <sheet name="ECL_by_stage" sheetId="3" state="visible" r:id="rId3"/>
    <sheet name="Scenarios" sheetId="4" state="visible" r:id="rId4"/>
    <sheet name="LGD_by_grade" sheetId="5" state="visible" r:id="rId5"/>
    <sheet name="Model_comparison" sheetId="6" state="visible" r:id="rId6"/>
    <sheet name="Calibration" sheetId="7" state="visible" r:id="rId7"/>
    <sheet name="Deciles_Scorecard" sheetId="8" state="visible" r:id="rId8"/>
    <sheet name="Deciles_GBM" sheetId="9" state="visible" r:id="rId9"/>
    <sheet name="PSI" sheetId="10" state="visible" r:id="rId10"/>
    <sheet name="Scorec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Simplified IFRS 9 ECL illustration on LendingClub loans</t>
        </is>
      </c>
    </row>
    <row r="3">
      <c r="A3" t="inlineStr">
        <is>
          <t>Scope</t>
        </is>
      </c>
      <c r="B3" t="inlineStr">
        <is>
          <t>Educational / portfolio project. NOT a production model.</t>
        </is>
      </c>
    </row>
    <row r="4">
      <c r="A4" t="inlineStr">
        <is>
          <t>Data</t>
        </is>
      </c>
      <c r="B4" t="inlineStr">
        <is>
          <t>LendingClub accepted loans (Kaggle); closed loans for modelling, in-progress loans for ECL</t>
        </is>
      </c>
    </row>
    <row r="5">
      <c r="A5" t="inlineStr">
        <is>
          <t>Default</t>
        </is>
      </c>
      <c r="B5" t="inlineStr">
        <is>
          <t>Charged Off/Default = 1, Fully Paid = 0; in-progress loans excluded from training</t>
        </is>
      </c>
    </row>
    <row r="6">
      <c r="A6" t="inlineStr">
        <is>
          <t>PD</t>
        </is>
      </c>
      <c r="B6" t="inlineStr">
        <is>
          <t>WoE logistic regression scorecard (challenger: gradient boosting), out-of-time validated</t>
        </is>
      </c>
    </row>
    <row r="7">
      <c r="A7" t="inlineStr">
        <is>
          <t>LGD</t>
        </is>
      </c>
      <c r="B7" t="inlineStr">
        <is>
          <t>Exposure-weighted 1 - recoveries/EAD on defaulted loans, by grade</t>
        </is>
      </c>
    </row>
    <row r="8">
      <c r="A8" t="inlineStr">
        <is>
          <t>EAD</t>
        </is>
      </c>
      <c r="B8" t="inlineStr">
        <is>
          <t>Outstanding principal (out_prncp); at default = funded_amnt - total_rec_prncp</t>
        </is>
      </c>
    </row>
    <row r="9">
      <c r="A9" t="inlineStr">
        <is>
          <t>ECL</t>
        </is>
      </c>
      <c r="B9" t="inlineStr">
        <is>
          <t>PD x LGD x EAD with mid-horizon discounting at loan interest rate</t>
        </is>
      </c>
    </row>
    <row r="10">
      <c r="A10" t="inlineStr">
        <is>
          <t>Stages</t>
        </is>
      </c>
      <c r="B10" t="inlineStr">
        <is>
          <t>S1 12m PD; S2 lifetime PD (grace / 16-30 late); S3 PD=100% (31-120 late)</t>
        </is>
      </c>
    </row>
    <row r="11">
      <c r="A11" t="inlineStr">
        <is>
          <t>Scenarios</t>
        </is>
      </c>
      <c r="B11" t="inlineStr">
        <is>
          <t>Adverse = PD odds x1.5, LGD x1.15</t>
        </is>
      </c>
    </row>
    <row r="12">
      <c r="A12" t="inlineStr">
        <is>
          <t>Caveat</t>
        </is>
      </c>
      <c r="B12" t="inlineStr">
        <is>
          <t>No macro-economic forward-looking model, no SICR on PD, constant-hazard term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grade</t>
        </is>
      </c>
      <c r="B1" s="1" t="inlineStr">
        <is>
          <t>loans</t>
        </is>
      </c>
      <c r="C1" s="1" t="inlineStr">
        <is>
          <t>EAD</t>
        </is>
      </c>
      <c r="D1" s="1" t="inlineStr">
        <is>
          <t>avg_PD</t>
        </is>
      </c>
      <c r="E1" s="1" t="inlineStr">
        <is>
          <t>avg_LGD</t>
        </is>
      </c>
      <c r="F1" s="1" t="inlineStr">
        <is>
          <t>ECL</t>
        </is>
      </c>
      <c r="G1" s="1" t="inlineStr">
        <is>
          <t>Coverage</t>
        </is>
      </c>
      <c r="H1" s="1" t="inlineStr">
        <is>
          <t>ECL_share</t>
        </is>
      </c>
    </row>
    <row r="2">
      <c r="A2" t="inlineStr">
        <is>
          <t>A</t>
        </is>
      </c>
      <c r="B2" s="2" t="n">
        <v>196642</v>
      </c>
      <c r="C2" s="2" t="n">
        <v>2002636833.01</v>
      </c>
      <c r="D2" s="3" t="n">
        <v>0.0477355266927133</v>
      </c>
      <c r="E2" s="3" t="n">
        <v>0.9164654352534571</v>
      </c>
      <c r="F2" s="2" t="n">
        <v>84990327.01754785</v>
      </c>
      <c r="G2" s="3">
        <f>F2/C2</f>
        <v/>
      </c>
      <c r="H2" s="3" t="n">
        <v>0.1134960080641814</v>
      </c>
    </row>
    <row r="3">
      <c r="A3" t="inlineStr">
        <is>
          <t>B</t>
        </is>
      </c>
      <c r="B3" s="2" t="n">
        <v>268973</v>
      </c>
      <c r="C3" s="2" t="n">
        <v>2675935183.16</v>
      </c>
      <c r="D3" s="3" t="n">
        <v>0.07568273627455892</v>
      </c>
      <c r="E3" s="3" t="n">
        <v>0.91322008297949</v>
      </c>
      <c r="F3" s="2" t="n">
        <v>177532063.9861914</v>
      </c>
      <c r="G3" s="3">
        <f>F3/C3</f>
        <v/>
      </c>
      <c r="H3" s="3" t="n">
        <v>0.2370761623457145</v>
      </c>
    </row>
    <row r="4">
      <c r="A4" t="inlineStr">
        <is>
          <t>C</t>
        </is>
      </c>
      <c r="B4" s="2" t="n">
        <v>266530</v>
      </c>
      <c r="C4" s="2" t="n">
        <v>2847220610.59</v>
      </c>
      <c r="D4" s="3" t="n">
        <v>0.1036276862079827</v>
      </c>
      <c r="E4" s="3" t="n">
        <v>0.9114537288008716</v>
      </c>
      <c r="F4" s="2" t="n">
        <v>255185867.8231873</v>
      </c>
      <c r="G4" s="3">
        <f>F4/C4</f>
        <v/>
      </c>
      <c r="H4" s="3" t="n">
        <v>0.3407749837972234</v>
      </c>
    </row>
    <row r="5">
      <c r="A5" t="inlineStr">
        <is>
          <t>D</t>
        </is>
      </c>
      <c r="B5" s="2" t="n">
        <v>122202</v>
      </c>
      <c r="C5" s="2" t="n">
        <v>1368535973.2</v>
      </c>
      <c r="D5" s="3" t="n">
        <v>0.127792921067366</v>
      </c>
      <c r="E5" s="3" t="n">
        <v>0.9101987397898013</v>
      </c>
      <c r="F5" s="2" t="n">
        <v>149008639.0544407</v>
      </c>
      <c r="G5" s="3">
        <f>F5/C5</f>
        <v/>
      </c>
      <c r="H5" s="3" t="n">
        <v>0.1989860057399676</v>
      </c>
    </row>
    <row r="6">
      <c r="A6" t="inlineStr">
        <is>
          <t>E</t>
        </is>
      </c>
      <c r="B6" s="2" t="n">
        <v>41237</v>
      </c>
      <c r="C6" s="2" t="n">
        <v>455341660.4900001</v>
      </c>
      <c r="D6" s="3" t="n">
        <v>0.1509143546038575</v>
      </c>
      <c r="E6" s="3" t="n">
        <v>0.9057293770181117</v>
      </c>
      <c r="F6" s="2" t="n">
        <v>57723706.76987416</v>
      </c>
      <c r="G6" s="3">
        <f>F6/C6</f>
        <v/>
      </c>
      <c r="H6" s="3" t="n">
        <v>0.07708418732987601</v>
      </c>
    </row>
    <row r="7">
      <c r="A7" t="inlineStr">
        <is>
          <t>F</t>
        </is>
      </c>
      <c r="B7" s="2" t="n">
        <v>9450</v>
      </c>
      <c r="C7" s="2" t="n">
        <v>120169761.64</v>
      </c>
      <c r="D7" s="3" t="n">
        <v>0.1794479079922351</v>
      </c>
      <c r="E7" s="3" t="n">
        <v>0.9028807897928255</v>
      </c>
      <c r="F7" s="2" t="n">
        <v>17892958.99403239</v>
      </c>
      <c r="G7" s="3">
        <f>F7/C7</f>
        <v/>
      </c>
      <c r="H7" s="3" t="n">
        <v>0.02389424172776126</v>
      </c>
    </row>
    <row r="8">
      <c r="A8" t="inlineStr">
        <is>
          <t>G</t>
        </is>
      </c>
      <c r="B8" s="2" t="n">
        <v>2830</v>
      </c>
      <c r="C8" s="2" t="n">
        <v>40161901.26000001</v>
      </c>
      <c r="D8" s="3" t="n">
        <v>0.1951372369371962</v>
      </c>
      <c r="E8" s="3" t="n">
        <v>0.9051118295921606</v>
      </c>
      <c r="F8" s="2" t="n">
        <v>6506227.87837399</v>
      </c>
      <c r="G8" s="3">
        <f>F8/C8</f>
        <v/>
      </c>
      <c r="H8" s="3" t="n">
        <v>0.008688410995275654</v>
      </c>
    </row>
    <row r="9">
      <c r="A9" s="4" t="inlineStr">
        <is>
          <t>Total</t>
        </is>
      </c>
      <c r="B9" s="5" t="n">
        <v>907864</v>
      </c>
      <c r="C9" s="5" t="n">
        <v>9510001923.35</v>
      </c>
      <c r="D9" s="6" t="n">
        <v>0.0910807388814084</v>
      </c>
      <c r="E9" s="6" t="n">
        <v>0.9124163293433184</v>
      </c>
      <c r="F9" s="5" t="n">
        <v>748839791.5236478</v>
      </c>
      <c r="G9" s="6">
        <f>F9/C9</f>
        <v/>
      </c>
      <c r="H9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stage</t>
        </is>
      </c>
      <c r="B1" s="1" t="inlineStr">
        <is>
          <t>loans</t>
        </is>
      </c>
      <c r="C1" s="1" t="inlineStr">
        <is>
          <t>EAD</t>
        </is>
      </c>
      <c r="D1" s="1" t="inlineStr">
        <is>
          <t>avg_PD</t>
        </is>
      </c>
      <c r="E1" s="1" t="inlineStr">
        <is>
          <t>avg_LGD</t>
        </is>
      </c>
      <c r="F1" s="1" t="inlineStr">
        <is>
          <t>ECL</t>
        </is>
      </c>
      <c r="G1" s="1" t="inlineStr">
        <is>
          <t>Coverage</t>
        </is>
      </c>
      <c r="H1" s="1" t="inlineStr">
        <is>
          <t>ECL_share</t>
        </is>
      </c>
    </row>
    <row r="2">
      <c r="A2" t="inlineStr">
        <is>
          <t>1</t>
        </is>
      </c>
      <c r="B2" s="2" t="n">
        <v>873780</v>
      </c>
      <c r="C2" s="2" t="n">
        <v>9125761309.860001</v>
      </c>
      <c r="D2" s="3" t="n">
        <v>0.06507534656546753</v>
      </c>
      <c r="E2" s="3" t="n">
        <v>0.9124863941787827</v>
      </c>
      <c r="F2" s="2" t="n">
        <v>506816096.0810798</v>
      </c>
      <c r="G2" s="3">
        <f>F2/C2</f>
        <v/>
      </c>
      <c r="H2" s="3" t="n">
        <v>0.6768017696413705</v>
      </c>
    </row>
    <row r="3">
      <c r="A3" t="inlineStr">
        <is>
          <t>2</t>
        </is>
      </c>
      <c r="B3" s="2" t="n">
        <v>12643</v>
      </c>
      <c r="C3" s="2" t="n">
        <v>139994247.15</v>
      </c>
      <c r="D3" s="3" t="n">
        <v>0.2005050654644588</v>
      </c>
      <c r="E3" s="3" t="n">
        <v>0.9108320521153873</v>
      </c>
      <c r="F3" s="2" t="n">
        <v>19586927.67804301</v>
      </c>
      <c r="G3" s="3">
        <f>F3/C3</f>
        <v/>
      </c>
      <c r="H3" s="3" t="n">
        <v>0.02615636602081458</v>
      </c>
    </row>
    <row r="4">
      <c r="A4" t="inlineStr">
        <is>
          <t>3</t>
        </is>
      </c>
      <c r="B4" s="2" t="n">
        <v>21441</v>
      </c>
      <c r="C4" s="2" t="n">
        <v>244246366.34</v>
      </c>
      <c r="D4" s="3" t="n">
        <v>1</v>
      </c>
      <c r="E4" s="3" t="n">
        <v>0.9107065587001801</v>
      </c>
      <c r="F4" s="2" t="n">
        <v>222436767.7645249</v>
      </c>
      <c r="G4" s="3">
        <f>F4/C4</f>
        <v/>
      </c>
      <c r="H4" s="3" t="n">
        <v>0.2970418643378148</v>
      </c>
    </row>
    <row r="5">
      <c r="A5" s="4" t="inlineStr">
        <is>
          <t>Total</t>
        </is>
      </c>
      <c r="B5" s="5" t="n">
        <v>907864</v>
      </c>
      <c r="C5" s="5" t="n">
        <v>9510001923.35</v>
      </c>
      <c r="D5" s="6" t="n">
        <v>0.0910807388814084</v>
      </c>
      <c r="E5" s="6" t="n">
        <v>0.9124163293433184</v>
      </c>
      <c r="F5" s="5" t="n">
        <v>748839791.5236478</v>
      </c>
      <c r="G5" s="6">
        <f>F5/C5</f>
        <v/>
      </c>
      <c r="H5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7" customWidth="1" min="5" max="5"/>
    <col width="20" customWidth="1" min="6" max="6"/>
    <col width="12" customWidth="1" min="7" max="7"/>
  </cols>
  <sheetData>
    <row r="1">
      <c r="A1" s="1" t="inlineStr">
        <is>
          <t>grade</t>
        </is>
      </c>
      <c r="B1" s="1" t="inlineStr">
        <is>
          <t>EAD</t>
        </is>
      </c>
      <c r="C1" s="1" t="inlineStr">
        <is>
          <t>ECL_base</t>
        </is>
      </c>
      <c r="D1" s="1" t="inlineStr">
        <is>
          <t>ECL_adverse</t>
        </is>
      </c>
      <c r="E1" s="1" t="inlineStr">
        <is>
          <t>Coverage_base</t>
        </is>
      </c>
      <c r="F1" s="1" t="inlineStr">
        <is>
          <t>Coverage_adverse</t>
        </is>
      </c>
      <c r="G1" s="1" t="inlineStr">
        <is>
          <t>Uplift</t>
        </is>
      </c>
    </row>
    <row r="2">
      <c r="A2" t="inlineStr">
        <is>
          <t>A</t>
        </is>
      </c>
      <c r="B2" s="2" t="n">
        <v>2002636833.01</v>
      </c>
      <c r="C2" s="2" t="n">
        <v>84990327.01754785</v>
      </c>
      <c r="D2" s="2" t="n">
        <v>126747958.4694248</v>
      </c>
      <c r="E2" s="3">
        <f>C2/B2</f>
        <v/>
      </c>
      <c r="F2" s="3">
        <f>D2/B2</f>
        <v/>
      </c>
      <c r="G2" s="3">
        <f>D2/C2-1</f>
        <v/>
      </c>
    </row>
    <row r="3">
      <c r="A3" t="inlineStr">
        <is>
          <t>B</t>
        </is>
      </c>
      <c r="B3" s="2" t="n">
        <v>2675935183.16</v>
      </c>
      <c r="C3" s="2" t="n">
        <v>177532063.9861914</v>
      </c>
      <c r="D3" s="2" t="n">
        <v>252170655.8530773</v>
      </c>
      <c r="E3" s="3">
        <f>C3/B3</f>
        <v/>
      </c>
      <c r="F3" s="3">
        <f>D3/B3</f>
        <v/>
      </c>
      <c r="G3" s="3">
        <f>D3/C3-1</f>
        <v/>
      </c>
    </row>
    <row r="4">
      <c r="A4" t="inlineStr">
        <is>
          <t>C</t>
        </is>
      </c>
      <c r="B4" s="2" t="n">
        <v>2847220610.59</v>
      </c>
      <c r="C4" s="2" t="n">
        <v>255185867.8231873</v>
      </c>
      <c r="D4" s="2" t="n">
        <v>351211248.9251887</v>
      </c>
      <c r="E4" s="3">
        <f>C4/B4</f>
        <v/>
      </c>
      <c r="F4" s="3">
        <f>D4/B4</f>
        <v/>
      </c>
      <c r="G4" s="3">
        <f>D4/C4-1</f>
        <v/>
      </c>
    </row>
    <row r="5">
      <c r="A5" t="inlineStr">
        <is>
          <t>D</t>
        </is>
      </c>
      <c r="B5" s="2" t="n">
        <v>1368535973.2</v>
      </c>
      <c r="C5" s="2" t="n">
        <v>149008639.0544407</v>
      </c>
      <c r="D5" s="2" t="n">
        <v>200379931.6789583</v>
      </c>
      <c r="E5" s="3">
        <f>C5/B5</f>
        <v/>
      </c>
      <c r="F5" s="3">
        <f>D5/B5</f>
        <v/>
      </c>
      <c r="G5" s="3">
        <f>D5/C5-1</f>
        <v/>
      </c>
    </row>
    <row r="6">
      <c r="A6" t="inlineStr">
        <is>
          <t>E</t>
        </is>
      </c>
      <c r="B6" s="2" t="n">
        <v>455341660.4900001</v>
      </c>
      <c r="C6" s="2" t="n">
        <v>57723706.76987416</v>
      </c>
      <c r="D6" s="2" t="n">
        <v>75957029.94828637</v>
      </c>
      <c r="E6" s="3">
        <f>C6/B6</f>
        <v/>
      </c>
      <c r="F6" s="3">
        <f>D6/B6</f>
        <v/>
      </c>
      <c r="G6" s="3">
        <f>D6/C6-1</f>
        <v/>
      </c>
    </row>
    <row r="7">
      <c r="A7" t="inlineStr">
        <is>
          <t>F</t>
        </is>
      </c>
      <c r="B7" s="2" t="n">
        <v>120169761.64</v>
      </c>
      <c r="C7" s="2" t="n">
        <v>17892958.99403239</v>
      </c>
      <c r="D7" s="2" t="n">
        <v>23100458.75967</v>
      </c>
      <c r="E7" s="3">
        <f>C7/B7</f>
        <v/>
      </c>
      <c r="F7" s="3">
        <f>D7/B7</f>
        <v/>
      </c>
      <c r="G7" s="3">
        <f>D7/C7-1</f>
        <v/>
      </c>
    </row>
    <row r="8">
      <c r="A8" t="inlineStr">
        <is>
          <t>G</t>
        </is>
      </c>
      <c r="B8" s="2" t="n">
        <v>40161901.26000001</v>
      </c>
      <c r="C8" s="2" t="n">
        <v>6506227.87837399</v>
      </c>
      <c r="D8" s="2" t="n">
        <v>8277523.3802575</v>
      </c>
      <c r="E8" s="3">
        <f>C8/B8</f>
        <v/>
      </c>
      <c r="F8" s="3">
        <f>D8/B8</f>
        <v/>
      </c>
      <c r="G8" s="3">
        <f>D8/C8-1</f>
        <v/>
      </c>
    </row>
    <row r="9">
      <c r="A9" s="4" t="inlineStr">
        <is>
          <t>Total</t>
        </is>
      </c>
      <c r="B9" s="5" t="n">
        <v>9510001923.35</v>
      </c>
      <c r="C9" s="5" t="n">
        <v>748839791.5236478</v>
      </c>
      <c r="D9" s="5" t="n">
        <v>1037844807.014862</v>
      </c>
      <c r="E9" s="6">
        <f>C9/B9</f>
        <v/>
      </c>
      <c r="F9" s="6">
        <f>D9/B9</f>
        <v/>
      </c>
      <c r="G9" s="6">
        <f>D9/C9-1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21" customWidth="1" min="6" max="6"/>
  </cols>
  <sheetData>
    <row r="1">
      <c r="A1" s="1" t="inlineStr">
        <is>
          <t>grade</t>
        </is>
      </c>
      <c r="B1" s="1" t="inlineStr">
        <is>
          <t>defaults</t>
        </is>
      </c>
      <c r="C1" s="1" t="inlineStr">
        <is>
          <t>EAD_at_default</t>
        </is>
      </c>
      <c r="D1" s="1" t="inlineStr">
        <is>
          <t>recoveries</t>
        </is>
      </c>
      <c r="E1" s="1" t="inlineStr">
        <is>
          <t>LGD</t>
        </is>
      </c>
      <c r="F1" s="1" t="inlineStr">
        <is>
          <t>EAD_pct_of_funded</t>
        </is>
      </c>
    </row>
    <row r="2">
      <c r="A2" t="inlineStr">
        <is>
          <t>A</t>
        </is>
      </c>
      <c r="B2" s="2" t="n">
        <v>14213</v>
      </c>
      <c r="C2" s="2" t="n">
        <v>114955165.86</v>
      </c>
      <c r="D2" s="2" t="n">
        <v>9602729.74548172</v>
      </c>
      <c r="E2" s="3" t="n">
        <v>0.9164654352534574</v>
      </c>
      <c r="F2" s="3" t="n">
        <v>0.5892063017894896</v>
      </c>
    </row>
    <row r="3">
      <c r="A3" t="inlineStr">
        <is>
          <t>B</t>
        </is>
      </c>
      <c r="B3" s="2" t="n">
        <v>52652</v>
      </c>
      <c r="C3" s="2" t="n">
        <v>455004480.97</v>
      </c>
      <c r="D3" s="2" t="n">
        <v>39485251.10253668</v>
      </c>
      <c r="E3" s="3" t="n">
        <v>0.9132200829794903</v>
      </c>
      <c r="F3" s="3" t="n">
        <v>0.6382066667043041</v>
      </c>
    </row>
    <row r="4">
      <c r="A4" t="inlineStr">
        <is>
          <t>C</t>
        </is>
      </c>
      <c r="B4" s="2" t="n">
        <v>85801</v>
      </c>
      <c r="C4" s="2" t="n">
        <v>883900255.8600001</v>
      </c>
      <c r="D4" s="2" t="n">
        <v>78266071.76835871</v>
      </c>
      <c r="E4" s="3" t="n">
        <v>0.9114537288008714</v>
      </c>
      <c r="F4" s="3" t="n">
        <v>0.6990893873868186</v>
      </c>
    </row>
    <row r="5">
      <c r="A5" t="inlineStr">
        <is>
          <t>D</t>
        </is>
      </c>
      <c r="B5" s="2" t="n">
        <v>61259</v>
      </c>
      <c r="C5" s="2" t="n">
        <v>723757062.5899999</v>
      </c>
      <c r="D5" s="2" t="n">
        <v>64994296.30661381</v>
      </c>
      <c r="E5" s="3" t="n">
        <v>0.910198739789801</v>
      </c>
      <c r="F5" s="3" t="n">
        <v>0.7393893996397994</v>
      </c>
    </row>
    <row r="6">
      <c r="A6" t="inlineStr">
        <is>
          <t>E</t>
        </is>
      </c>
      <c r="B6" s="2" t="n">
        <v>36196</v>
      </c>
      <c r="C6" s="2" t="n">
        <v>511981712.8399999</v>
      </c>
      <c r="D6" s="2" t="n">
        <v>48264835.024761</v>
      </c>
      <c r="E6" s="3" t="n">
        <v>0.9057293770181117</v>
      </c>
      <c r="F6" s="3" t="n">
        <v>0.7816831848406672</v>
      </c>
    </row>
    <row r="7">
      <c r="A7" t="inlineStr">
        <is>
          <t>F</t>
        </is>
      </c>
      <c r="B7" s="2" t="n">
        <v>14585</v>
      </c>
      <c r="C7" s="2" t="n">
        <v>234400635.73</v>
      </c>
      <c r="D7" s="2" t="n">
        <v>22764804.61415723</v>
      </c>
      <c r="E7" s="3" t="n">
        <v>0.9028807897928254</v>
      </c>
      <c r="F7" s="3" t="n">
        <v>0.8232271495995295</v>
      </c>
    </row>
    <row r="8">
      <c r="A8" t="inlineStr">
        <is>
          <t>G</t>
        </is>
      </c>
      <c r="B8" s="2" t="n">
        <v>4632</v>
      </c>
      <c r="C8" s="2" t="n">
        <v>80813690.49000001</v>
      </c>
      <c r="D8" s="2" t="n">
        <v>7668263.234501489</v>
      </c>
      <c r="E8" s="3" t="n">
        <v>0.9051118295921609</v>
      </c>
      <c r="F8" s="3" t="n">
        <v>0.8568326312047885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Gini</t>
        </is>
      </c>
      <c r="D1" s="1" t="inlineStr">
        <is>
          <t>KS</t>
        </is>
      </c>
      <c r="E1" s="1" t="inlineStr">
        <is>
          <t>Brier</t>
        </is>
      </c>
    </row>
    <row r="2">
      <c r="A2" t="inlineStr">
        <is>
          <t>Scorecard (train)</t>
        </is>
      </c>
      <c r="B2" s="7" t="n">
        <v>0.6818227668635605</v>
      </c>
      <c r="C2" s="7" t="n">
        <v>0.3636455337271209</v>
      </c>
      <c r="D2" s="7" t="n">
        <v>0.2637110025054964</v>
      </c>
      <c r="E2" s="7" t="n">
        <v>0.1325101044127007</v>
      </c>
    </row>
    <row r="3">
      <c r="A3" t="inlineStr">
        <is>
          <t>Scorecard (OOT test)</t>
        </is>
      </c>
      <c r="B3" s="7" t="n">
        <v>0.6912178016487225</v>
      </c>
      <c r="C3" s="7" t="n">
        <v>0.382435603297445</v>
      </c>
      <c r="D3" s="7" t="n">
        <v>0.2720098404996089</v>
      </c>
      <c r="E3" s="7" t="n">
        <v>0.1578703037539447</v>
      </c>
    </row>
    <row r="4">
      <c r="A4" t="inlineStr">
        <is>
          <t>GBM (train)</t>
        </is>
      </c>
      <c r="B4" s="7" t="n">
        <v>0.7215271456552679</v>
      </c>
      <c r="C4" s="7" t="n">
        <v>0.4430542913105358</v>
      </c>
      <c r="D4" s="7" t="n">
        <v>0.3222335650706053</v>
      </c>
      <c r="E4" s="7" t="n">
        <v>0.1278904713566541</v>
      </c>
    </row>
    <row r="5">
      <c r="A5" t="inlineStr">
        <is>
          <t>GBM (OOT test)</t>
        </is>
      </c>
      <c r="B5" s="7" t="n">
        <v>0.7141013823187303</v>
      </c>
      <c r="C5" s="7" t="n">
        <v>0.4282027646374607</v>
      </c>
      <c r="D5" s="7" t="n">
        <v>0.307312391748868</v>
      </c>
      <c r="E5" s="7" t="n">
        <v>0.154106728045195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16" customWidth="1" min="4" max="4"/>
    <col width="15" customWidth="1" min="5" max="5"/>
  </cols>
  <sheetData>
    <row r="1">
      <c r="A1" s="1" t="inlineStr">
        <is>
          <t>model</t>
        </is>
      </c>
      <c r="B1" s="1" t="inlineStr">
        <is>
          <t>calibration_slope</t>
        </is>
      </c>
      <c r="C1" s="1" t="inlineStr">
        <is>
          <t>calibration_intercept (CITL)</t>
        </is>
      </c>
      <c r="D1" s="1" t="inlineStr">
        <is>
          <t>mean_pred_PD</t>
        </is>
      </c>
      <c r="E1" s="1" t="inlineStr">
        <is>
          <t>observed_DR</t>
        </is>
      </c>
    </row>
    <row r="2">
      <c r="A2" t="inlineStr">
        <is>
          <t>Scorecard</t>
        </is>
      </c>
      <c r="B2" s="7" t="n">
        <v>1.106775214433253</v>
      </c>
      <c r="C2" s="7" t="n">
        <v>0.3278297582083217</v>
      </c>
      <c r="D2" s="3" t="n">
        <v>0.1681461812624414</v>
      </c>
      <c r="E2" s="7" t="n">
        <v>0.215442734700165</v>
      </c>
    </row>
    <row r="3">
      <c r="A3" t="inlineStr">
        <is>
          <t>GBM</t>
        </is>
      </c>
      <c r="B3" s="7" t="n">
        <v>1.061328719469979</v>
      </c>
      <c r="C3" s="7" t="n">
        <v>0.313084701633367</v>
      </c>
      <c r="D3" s="3" t="n">
        <v>0.1711342111059913</v>
      </c>
      <c r="E3" s="7" t="n">
        <v>0.215442734700165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decile</t>
        </is>
      </c>
      <c r="B1" s="1" t="inlineStr">
        <is>
          <t>loans</t>
        </is>
      </c>
      <c r="C1" s="1" t="inlineStr">
        <is>
          <t>defaults</t>
        </is>
      </c>
      <c r="D1" s="1" t="inlineStr">
        <is>
          <t>avg_pd</t>
        </is>
      </c>
      <c r="E1" s="1" t="inlineStr">
        <is>
          <t>obs_dr</t>
        </is>
      </c>
      <c r="F1" s="1" t="inlineStr">
        <is>
          <t>obs_over_pred</t>
        </is>
      </c>
    </row>
    <row r="2">
      <c r="A2" s="2" t="n">
        <v>1</v>
      </c>
      <c r="B2" s="2" t="n">
        <v>66866</v>
      </c>
      <c r="C2" s="2" t="n">
        <v>3958</v>
      </c>
      <c r="D2" s="3" t="n">
        <v>0.05417656407939255</v>
      </c>
      <c r="E2" s="3" t="n">
        <v>0.05919301289145455</v>
      </c>
      <c r="F2" s="7" t="n">
        <v>1.092594443691754</v>
      </c>
    </row>
    <row r="3">
      <c r="A3" s="2" t="n">
        <v>2</v>
      </c>
      <c r="B3" s="2" t="n">
        <v>66865</v>
      </c>
      <c r="C3" s="2" t="n">
        <v>6855</v>
      </c>
      <c r="D3" s="3" t="n">
        <v>0.08236272246259148</v>
      </c>
      <c r="E3" s="3" t="n">
        <v>0.1025200029911015</v>
      </c>
      <c r="F3" s="7" t="n">
        <v>1.244737909649178</v>
      </c>
    </row>
    <row r="4">
      <c r="A4" s="2" t="n">
        <v>3</v>
      </c>
      <c r="B4" s="2" t="n">
        <v>66865</v>
      </c>
      <c r="C4" s="2" t="n">
        <v>8889</v>
      </c>
      <c r="D4" s="3" t="n">
        <v>0.1025622296477553</v>
      </c>
      <c r="E4" s="3" t="n">
        <v>0.1329395049727062</v>
      </c>
      <c r="F4" s="7" t="n">
        <v>1.296183843011995</v>
      </c>
    </row>
    <row r="5">
      <c r="A5" s="2" t="n">
        <v>4</v>
      </c>
      <c r="B5" s="2" t="n">
        <v>66865</v>
      </c>
      <c r="C5" s="2" t="n">
        <v>10300</v>
      </c>
      <c r="D5" s="3" t="n">
        <v>0.1205831274141671</v>
      </c>
      <c r="E5" s="3" t="n">
        <v>0.15404172586555</v>
      </c>
      <c r="F5" s="7" t="n">
        <v>1.277473301355525</v>
      </c>
    </row>
    <row r="6">
      <c r="A6" s="2" t="n">
        <v>5</v>
      </c>
      <c r="B6" s="2" t="n">
        <v>66865</v>
      </c>
      <c r="C6" s="2" t="n">
        <v>11943</v>
      </c>
      <c r="D6" s="3" t="n">
        <v>0.1385266542044616</v>
      </c>
      <c r="E6" s="3" t="n">
        <v>0.17861362446721</v>
      </c>
      <c r="F6" s="7" t="n">
        <v>1.289380917289616</v>
      </c>
    </row>
    <row r="7">
      <c r="A7" s="2" t="n">
        <v>6</v>
      </c>
      <c r="B7" s="2" t="n">
        <v>66865</v>
      </c>
      <c r="C7" s="2" t="n">
        <v>13773</v>
      </c>
      <c r="D7" s="3" t="n">
        <v>0.1576538202431657</v>
      </c>
      <c r="E7" s="3" t="n">
        <v>0.205982202946235</v>
      </c>
      <c r="F7" s="7" t="n">
        <v>1.306547488849477</v>
      </c>
    </row>
    <row r="8">
      <c r="A8" s="2" t="n">
        <v>7</v>
      </c>
      <c r="B8" s="2" t="n">
        <v>66864</v>
      </c>
      <c r="C8" s="2" t="n">
        <v>15593</v>
      </c>
      <c r="D8" s="3" t="n">
        <v>0.1801104788812831</v>
      </c>
      <c r="E8" s="3" t="n">
        <v>0.2332047140464226</v>
      </c>
      <c r="F8" s="7" t="n">
        <v>1.294787041236705</v>
      </c>
    </row>
    <row r="9">
      <c r="A9" s="2" t="n">
        <v>8</v>
      </c>
      <c r="B9" s="2" t="n">
        <v>66866</v>
      </c>
      <c r="C9" s="2" t="n">
        <v>18300</v>
      </c>
      <c r="D9" s="3" t="n">
        <v>0.2101944876392308</v>
      </c>
      <c r="E9" s="3" t="n">
        <v>0.2736816917416923</v>
      </c>
      <c r="F9" s="7" t="n">
        <v>1.302040290473404</v>
      </c>
    </row>
    <row r="10">
      <c r="A10" s="2" t="n">
        <v>9</v>
      </c>
      <c r="B10" s="2" t="n">
        <v>66865</v>
      </c>
      <c r="C10" s="2" t="n">
        <v>22612</v>
      </c>
      <c r="D10" s="3" t="n">
        <v>0.2609554989769478</v>
      </c>
      <c r="E10" s="3" t="n">
        <v>0.3381739325506618</v>
      </c>
      <c r="F10" s="7" t="n">
        <v>1.295906519986902</v>
      </c>
    </row>
    <row r="11">
      <c r="A11" s="2" t="n">
        <v>10</v>
      </c>
      <c r="B11" s="2" t="n">
        <v>66865</v>
      </c>
      <c r="C11" s="2" t="n">
        <v>31833</v>
      </c>
      <c r="D11" s="3" t="n">
        <v>0.3743374836272534</v>
      </c>
      <c r="E11" s="3" t="n">
        <v>0.476078665968743</v>
      </c>
      <c r="F11" s="7" t="n">
        <v>1.271789993766155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decile</t>
        </is>
      </c>
      <c r="B1" s="1" t="inlineStr">
        <is>
          <t>loans</t>
        </is>
      </c>
      <c r="C1" s="1" t="inlineStr">
        <is>
          <t>defaults</t>
        </is>
      </c>
      <c r="D1" s="1" t="inlineStr">
        <is>
          <t>avg_pd</t>
        </is>
      </c>
      <c r="E1" s="1" t="inlineStr">
        <is>
          <t>obs_dr</t>
        </is>
      </c>
      <c r="F1" s="1" t="inlineStr">
        <is>
          <t>obs_over_pred</t>
        </is>
      </c>
    </row>
    <row r="2">
      <c r="A2" s="2" t="n">
        <v>1</v>
      </c>
      <c r="B2" s="2" t="n">
        <v>66866</v>
      </c>
      <c r="C2" s="2" t="n">
        <v>3077</v>
      </c>
      <c r="D2" s="3" t="n">
        <v>0.04282041529535583</v>
      </c>
      <c r="E2" s="3" t="n">
        <v>0.04601740795022882</v>
      </c>
      <c r="F2" s="7" t="n">
        <v>1.074660477550756</v>
      </c>
    </row>
    <row r="3">
      <c r="A3" s="2" t="n">
        <v>2</v>
      </c>
      <c r="B3" s="2" t="n">
        <v>66865</v>
      </c>
      <c r="C3" s="2" t="n">
        <v>5774</v>
      </c>
      <c r="D3" s="3" t="n">
        <v>0.07132672956369807</v>
      </c>
      <c r="E3" s="3" t="n">
        <v>0.08635309952890152</v>
      </c>
      <c r="F3" s="7" t="n">
        <v>1.210669549229566</v>
      </c>
    </row>
    <row r="4">
      <c r="A4" s="2" t="n">
        <v>3</v>
      </c>
      <c r="B4" s="2" t="n">
        <v>66865</v>
      </c>
      <c r="C4" s="2" t="n">
        <v>7746</v>
      </c>
      <c r="D4" s="3" t="n">
        <v>0.0917075852410557</v>
      </c>
      <c r="E4" s="3" t="n">
        <v>0.1158453600538398</v>
      </c>
      <c r="F4" s="7" t="n">
        <v>1.263203689742101</v>
      </c>
    </row>
    <row r="5">
      <c r="A5" s="2" t="n">
        <v>4</v>
      </c>
      <c r="B5" s="2" t="n">
        <v>66865</v>
      </c>
      <c r="C5" s="2" t="n">
        <v>9836</v>
      </c>
      <c r="D5" s="3" t="n">
        <v>0.1113921622227099</v>
      </c>
      <c r="E5" s="3" t="n">
        <v>0.1471023704479174</v>
      </c>
      <c r="F5" s="7" t="n">
        <v>1.320580977266704</v>
      </c>
    </row>
    <row r="6">
      <c r="A6" s="2" t="n">
        <v>5</v>
      </c>
      <c r="B6" s="2" t="n">
        <v>66865</v>
      </c>
      <c r="C6" s="2" t="n">
        <v>11632</v>
      </c>
      <c r="D6" s="3" t="n">
        <v>0.1322335340036879</v>
      </c>
      <c r="E6" s="3" t="n">
        <v>0.1739624616765124</v>
      </c>
      <c r="F6" s="7" t="n">
        <v>1.315569934564863</v>
      </c>
    </row>
    <row r="7">
      <c r="A7" s="2" t="n">
        <v>6</v>
      </c>
      <c r="B7" s="2" t="n">
        <v>66865</v>
      </c>
      <c r="C7" s="2" t="n">
        <v>13683</v>
      </c>
      <c r="D7" s="3" t="n">
        <v>0.155979759461489</v>
      </c>
      <c r="E7" s="3" t="n">
        <v>0.2046362072833321</v>
      </c>
      <c r="F7" s="7" t="n">
        <v>1.311940779943671</v>
      </c>
    </row>
    <row r="8">
      <c r="A8" s="2" t="n">
        <v>7</v>
      </c>
      <c r="B8" s="2" t="n">
        <v>66864</v>
      </c>
      <c r="C8" s="2" t="n">
        <v>16045</v>
      </c>
      <c r="D8" s="3" t="n">
        <v>0.1850229043194092</v>
      </c>
      <c r="E8" s="3" t="n">
        <v>0.2399647044747547</v>
      </c>
      <c r="F8" s="7" t="n">
        <v>1.296945939517295</v>
      </c>
    </row>
    <row r="9">
      <c r="A9" s="2" t="n">
        <v>8</v>
      </c>
      <c r="B9" s="2" t="n">
        <v>66866</v>
      </c>
      <c r="C9" s="2" t="n">
        <v>18991</v>
      </c>
      <c r="D9" s="3" t="n">
        <v>0.2239106170946021</v>
      </c>
      <c r="E9" s="3" t="n">
        <v>0.284015792779589</v>
      </c>
      <c r="F9" s="7" t="n">
        <v>1.268433790522727</v>
      </c>
    </row>
    <row r="10">
      <c r="A10" s="2" t="n">
        <v>9</v>
      </c>
      <c r="B10" s="2" t="n">
        <v>66865</v>
      </c>
      <c r="C10" s="2" t="n">
        <v>23694</v>
      </c>
      <c r="D10" s="3" t="n">
        <v>0.2838314763229171</v>
      </c>
      <c r="E10" s="3" t="n">
        <v>0.3543557915202273</v>
      </c>
      <c r="F10" s="7" t="n">
        <v>1.248472495408065</v>
      </c>
    </row>
    <row r="11">
      <c r="A11" s="2" t="n">
        <v>10</v>
      </c>
      <c r="B11" s="2" t="n">
        <v>66865</v>
      </c>
      <c r="C11" s="2" t="n">
        <v>33578</v>
      </c>
      <c r="D11" s="3" t="n">
        <v>0.4131182649474306</v>
      </c>
      <c r="E11" s="3" t="n">
        <v>0.502176026321693</v>
      </c>
      <c r="F11" s="7" t="n">
        <v>1.215574495079744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variable</t>
        </is>
      </c>
      <c r="B1" s="1" t="inlineStr">
        <is>
          <t>PSI</t>
        </is>
      </c>
      <c r="C1" s="1" t="inlineStr">
        <is>
          <t>flag</t>
        </is>
      </c>
    </row>
    <row r="2">
      <c r="A2" t="inlineStr">
        <is>
          <t>mort_acc</t>
        </is>
      </c>
      <c r="B2" s="7" t="n">
        <v>0.7981910920081839</v>
      </c>
      <c r="C2" t="inlineStr">
        <is>
          <t>Significant shift</t>
        </is>
      </c>
    </row>
    <row r="3">
      <c r="A3" t="inlineStr">
        <is>
          <t>verification_status</t>
        </is>
      </c>
      <c r="B3" s="7" t="n">
        <v>0.0515623089622092</v>
      </c>
      <c r="C3" t="inlineStr">
        <is>
          <t>Stable</t>
        </is>
      </c>
    </row>
    <row r="4">
      <c r="A4" t="inlineStr">
        <is>
          <t>inq_last_6mths</t>
        </is>
      </c>
      <c r="B4" s="7" t="n">
        <v>0.04841691985801297</v>
      </c>
      <c r="C4" t="inlineStr">
        <is>
          <t>Stable</t>
        </is>
      </c>
    </row>
    <row r="5">
      <c r="A5" t="inlineStr">
        <is>
          <t>dti</t>
        </is>
      </c>
      <c r="B5" s="7" t="n">
        <v>0.04466205227117752</v>
      </c>
      <c r="C5" t="inlineStr">
        <is>
          <t>Stable</t>
        </is>
      </c>
    </row>
    <row r="6">
      <c r="A6" t="inlineStr">
        <is>
          <t>revol_util</t>
        </is>
      </c>
      <c r="B6" s="7" t="n">
        <v>0.03963147413018731</v>
      </c>
      <c r="C6" t="inlineStr">
        <is>
          <t>Stable</t>
        </is>
      </c>
    </row>
    <row r="7">
      <c r="A7" t="inlineStr">
        <is>
          <t>application_type</t>
        </is>
      </c>
      <c r="B7" s="7" t="n">
        <v>0.03741907514191491</v>
      </c>
      <c r="C7" t="inlineStr">
        <is>
          <t>Stable</t>
        </is>
      </c>
    </row>
    <row r="8">
      <c r="A8" t="inlineStr">
        <is>
          <t>addr_state</t>
        </is>
      </c>
      <c r="B8" s="7" t="n">
        <v>0.03677818341600567</v>
      </c>
      <c r="C8" t="inlineStr">
        <is>
          <t>Stable</t>
        </is>
      </c>
    </row>
    <row r="9">
      <c r="A9" t="inlineStr">
        <is>
          <t>pub_rec</t>
        </is>
      </c>
      <c r="B9" s="7" t="n">
        <v>0.02899907472655051</v>
      </c>
      <c r="C9" t="inlineStr">
        <is>
          <t>Stable</t>
        </is>
      </c>
    </row>
    <row r="10">
      <c r="A10" t="inlineStr">
        <is>
          <t>purpose</t>
        </is>
      </c>
      <c r="B10" s="7" t="n">
        <v>0.0269943656043637</v>
      </c>
      <c r="C10" t="inlineStr">
        <is>
          <t>Stable</t>
        </is>
      </c>
    </row>
    <row r="11">
      <c r="A11" t="inlineStr">
        <is>
          <t>pub_rec_bankruptcies</t>
        </is>
      </c>
      <c r="B11" s="7" t="n">
        <v>0.02133517273055949</v>
      </c>
      <c r="C11" t="inlineStr">
        <is>
          <t>Stable</t>
        </is>
      </c>
    </row>
    <row r="12">
      <c r="A12" t="inlineStr">
        <is>
          <t>open_acc</t>
        </is>
      </c>
      <c r="B12" s="7" t="n">
        <v>0.01883808547806418</v>
      </c>
      <c r="C12" t="inlineStr">
        <is>
          <t>Stable</t>
        </is>
      </c>
    </row>
    <row r="13">
      <c r="A13" t="inlineStr">
        <is>
          <t>emp_length_n</t>
        </is>
      </c>
      <c r="B13" s="7" t="n">
        <v>0.01403426413352856</v>
      </c>
      <c r="C13" t="inlineStr">
        <is>
          <t>Stable</t>
        </is>
      </c>
    </row>
    <row r="14">
      <c r="A14" t="inlineStr">
        <is>
          <t>credit_hist_yrs</t>
        </is>
      </c>
      <c r="B14" s="7" t="n">
        <v>0.01204659635628113</v>
      </c>
      <c r="C14" t="inlineStr">
        <is>
          <t>Stable</t>
        </is>
      </c>
    </row>
    <row r="15">
      <c r="A15" t="inlineStr">
        <is>
          <t>fico_avg</t>
        </is>
      </c>
      <c r="B15" s="7" t="n">
        <v>0.007638139020409994</v>
      </c>
      <c r="C15" t="inlineStr">
        <is>
          <t>Stable</t>
        </is>
      </c>
    </row>
    <row r="16">
      <c r="A16" t="inlineStr">
        <is>
          <t>home_ownership</t>
        </is>
      </c>
      <c r="B16" s="7" t="n">
        <v>0.007536787041925019</v>
      </c>
      <c r="C16" t="inlineStr">
        <is>
          <t>Stable</t>
        </is>
      </c>
    </row>
    <row r="17">
      <c r="A17" t="inlineStr">
        <is>
          <t>pti</t>
        </is>
      </c>
      <c r="B17" s="7" t="n">
        <v>0.007221855598385526</v>
      </c>
      <c r="C17" t="inlineStr">
        <is>
          <t>Stable</t>
        </is>
      </c>
    </row>
    <row r="18">
      <c r="A18" t="inlineStr">
        <is>
          <t>annual_inc</t>
        </is>
      </c>
      <c r="B18" s="7" t="n">
        <v>0.007141785154897235</v>
      </c>
      <c r="C18" t="inlineStr">
        <is>
          <t>Stable</t>
        </is>
      </c>
    </row>
    <row r="19">
      <c r="A19" t="inlineStr">
        <is>
          <t>delinq_2yrs</t>
        </is>
      </c>
      <c r="B19" s="7" t="n">
        <v>0.00592128531799635</v>
      </c>
      <c r="C19" t="inlineStr">
        <is>
          <t>Stable</t>
        </is>
      </c>
    </row>
    <row r="20">
      <c r="A20" t="inlineStr">
        <is>
          <t>revol_bal</t>
        </is>
      </c>
      <c r="B20" s="7" t="n">
        <v>0.005885175350499761</v>
      </c>
      <c r="C20" t="inlineStr">
        <is>
          <t>Stable</t>
        </is>
      </c>
    </row>
    <row r="21">
      <c r="A21" t="inlineStr">
        <is>
          <t>loan_amnt</t>
        </is>
      </c>
      <c r="B21" s="7" t="n">
        <v>0.00453759036268423</v>
      </c>
      <c r="C21" t="inlineStr">
        <is>
          <t>Stable</t>
        </is>
      </c>
    </row>
    <row r="22">
      <c r="A22" t="inlineStr">
        <is>
          <t>term_m</t>
        </is>
      </c>
      <c r="B22" s="7" t="n">
        <v>0.00368251848620448</v>
      </c>
      <c r="C22" t="inlineStr">
        <is>
          <t>Stable</t>
        </is>
      </c>
    </row>
    <row r="23">
      <c r="A23" t="inlineStr">
        <is>
          <t>loan_to_income</t>
        </is>
      </c>
      <c r="B23" s="7" t="n">
        <v>0.001917194841841744</v>
      </c>
      <c r="C23" t="inlineStr">
        <is>
          <t>Stable</t>
        </is>
      </c>
    </row>
    <row r="24">
      <c r="A24" t="inlineStr">
        <is>
          <t>SCORE (scorecard)</t>
        </is>
      </c>
      <c r="B24" s="7" t="n">
        <v>0.001707727606756662</v>
      </c>
      <c r="C24" t="inlineStr">
        <is>
          <t>Stable</t>
        </is>
      </c>
    </row>
    <row r="25">
      <c r="A25" t="inlineStr">
        <is>
          <t>PD (GBM)</t>
        </is>
      </c>
      <c r="B25" s="7" t="n">
        <v>0.001057756671322227</v>
      </c>
      <c r="C25" t="inlineStr">
        <is>
          <t>Stable</t>
        </is>
      </c>
    </row>
    <row r="26">
      <c r="A26" t="inlineStr">
        <is>
          <t>total_acc</t>
        </is>
      </c>
      <c r="B26" s="7" t="n">
        <v>0.000895021120392954</v>
      </c>
      <c r="C26" t="inlineStr">
        <is>
          <t>Stable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bad_rate</t>
        </is>
      </c>
      <c r="E1" s="1" t="inlineStr">
        <is>
          <t>woe</t>
        </is>
      </c>
      <c r="F1" s="1" t="inlineStr">
        <is>
          <t>points</t>
        </is>
      </c>
    </row>
    <row r="2">
      <c r="A2" t="inlineStr">
        <is>
          <t>term_m</t>
        </is>
      </c>
      <c r="B2" t="inlineStr">
        <is>
          <t>00: (-inf, 36]</t>
        </is>
      </c>
      <c r="C2" s="2" t="n">
        <v>337996</v>
      </c>
      <c r="D2" s="7" t="n">
        <v>0.131575521603806</v>
      </c>
      <c r="E2" s="7" t="n">
        <v>0.3032338617741772</v>
      </c>
      <c r="F2" s="2" t="n">
        <v>74.8</v>
      </c>
    </row>
    <row r="3">
      <c r="A3" t="inlineStr">
        <is>
          <t>term_m</t>
        </is>
      </c>
      <c r="B3" t="inlineStr">
        <is>
          <t>01: (36, 60]</t>
        </is>
      </c>
      <c r="C3" s="2" t="n">
        <v>115813</v>
      </c>
      <c r="D3" s="7" t="n">
        <v>0.2831202023952406</v>
      </c>
      <c r="E3" s="7" t="n">
        <v>-0.6548288259176211</v>
      </c>
      <c r="F3" s="2" t="n">
        <v>48.8</v>
      </c>
    </row>
    <row r="4">
      <c r="A4" t="inlineStr">
        <is>
          <t>loan_to_income</t>
        </is>
      </c>
      <c r="B4" t="inlineStr">
        <is>
          <t>00: (-inf, 0.08861]</t>
        </is>
      </c>
      <c r="C4" s="2" t="n">
        <v>56749</v>
      </c>
      <c r="D4" s="7" t="n">
        <v>0.1114733299265185</v>
      </c>
      <c r="E4" s="7" t="n">
        <v>0.4918539469104641</v>
      </c>
      <c r="F4" s="2" t="n">
        <v>72.40000000000001</v>
      </c>
    </row>
    <row r="5">
      <c r="A5" t="inlineStr">
        <is>
          <t>loan_to_income</t>
        </is>
      </c>
      <c r="B5" t="inlineStr">
        <is>
          <t>01: (0.08861, 0.1296]</t>
        </is>
      </c>
      <c r="C5" s="2" t="n">
        <v>56852</v>
      </c>
      <c r="D5" s="7" t="n">
        <v>0.1225990290579047</v>
      </c>
      <c r="E5" s="7" t="n">
        <v>0.3841270529425998</v>
      </c>
      <c r="F5" s="2" t="n">
        <v>71.09999999999999</v>
      </c>
    </row>
    <row r="6">
      <c r="A6" t="inlineStr">
        <is>
          <t>loan_to_income</t>
        </is>
      </c>
      <c r="B6" t="inlineStr">
        <is>
          <t>02: (0.1296, 0.1667]</t>
        </is>
      </c>
      <c r="C6" s="2" t="n">
        <v>59653</v>
      </c>
      <c r="D6" s="7" t="n">
        <v>0.1350476924882236</v>
      </c>
      <c r="E6" s="7" t="n">
        <v>0.2731377739789634</v>
      </c>
      <c r="F6" s="2" t="n">
        <v>69.8</v>
      </c>
    </row>
    <row r="7">
      <c r="A7" t="inlineStr">
        <is>
          <t>loan_to_income</t>
        </is>
      </c>
      <c r="B7" t="inlineStr">
        <is>
          <t>03: (0.1667, 0.2019]</t>
        </is>
      </c>
      <c r="C7" s="2" t="n">
        <v>53671</v>
      </c>
      <c r="D7" s="7" t="n">
        <v>0.1489631272009092</v>
      </c>
      <c r="E7" s="7" t="n">
        <v>0.1588488303390184</v>
      </c>
      <c r="F7" s="2" t="n">
        <v>68.5</v>
      </c>
    </row>
    <row r="8">
      <c r="A8" t="inlineStr">
        <is>
          <t>loan_to_income</t>
        </is>
      </c>
      <c r="B8" t="inlineStr">
        <is>
          <t>04: (0.2019, 0.2453]</t>
        </is>
      </c>
      <c r="C8" s="2" t="n">
        <v>56741</v>
      </c>
      <c r="D8" s="7" t="n">
        <v>0.1644313635642657</v>
      </c>
      <c r="E8" s="7" t="n">
        <v>0.04171998262594294</v>
      </c>
      <c r="F8" s="2" t="n">
        <v>67.09999999999999</v>
      </c>
    </row>
    <row r="9">
      <c r="A9" t="inlineStr">
        <is>
          <t>loan_to_income</t>
        </is>
      </c>
      <c r="B9" t="inlineStr">
        <is>
          <t>05: (0.2453, 0.2941]</t>
        </is>
      </c>
      <c r="C9" s="2" t="n">
        <v>56703</v>
      </c>
      <c r="D9" s="7" t="n">
        <v>0.1905013844064688</v>
      </c>
      <c r="E9" s="7" t="n">
        <v>-0.1371360212438042</v>
      </c>
      <c r="F9" s="2" t="n">
        <v>65</v>
      </c>
    </row>
    <row r="10">
      <c r="A10" t="inlineStr">
        <is>
          <t>loan_to_income</t>
        </is>
      </c>
      <c r="B10" t="inlineStr">
        <is>
          <t>06: (0.2941, 0.3571]</t>
        </is>
      </c>
      <c r="C10" s="2" t="n">
        <v>57191</v>
      </c>
      <c r="D10" s="7" t="n">
        <v>0.2262768617439807</v>
      </c>
      <c r="E10" s="7" t="n">
        <v>-0.3544287598494655</v>
      </c>
      <c r="F10" s="2" t="n">
        <v>62.5</v>
      </c>
    </row>
    <row r="11">
      <c r="A11" t="inlineStr">
        <is>
          <t>loan_to_income</t>
        </is>
      </c>
      <c r="B11" t="inlineStr">
        <is>
          <t>07: (0.3571, inf]</t>
        </is>
      </c>
      <c r="C11" s="2" t="n">
        <v>56245</v>
      </c>
      <c r="D11" s="7" t="n">
        <v>0.2638634545292915</v>
      </c>
      <c r="E11" s="7" t="n">
        <v>-0.5578939689127418</v>
      </c>
      <c r="F11" s="2" t="n">
        <v>60.1</v>
      </c>
    </row>
    <row r="12">
      <c r="A12" t="inlineStr">
        <is>
          <t>loan_to_income</t>
        </is>
      </c>
      <c r="B12" t="inlineStr">
        <is>
          <t>99: Missing</t>
        </is>
      </c>
      <c r="C12" s="2" t="n">
        <v>4</v>
      </c>
      <c r="D12" s="7" t="n">
        <v>0</v>
      </c>
      <c r="E12" s="7" t="n">
        <v>0.6133683486452758</v>
      </c>
      <c r="F12" s="2" t="n">
        <v>73.8</v>
      </c>
    </row>
    <row r="13">
      <c r="A13" t="inlineStr">
        <is>
          <t>fico_avg</t>
        </is>
      </c>
      <c r="B13" t="inlineStr">
        <is>
          <t>00: (-inf, 667]</t>
        </is>
      </c>
      <c r="C13" s="2" t="n">
        <v>74757</v>
      </c>
      <c r="D13" s="7" t="n">
        <v>0.2236312318578862</v>
      </c>
      <c r="E13" s="7" t="n">
        <v>-0.3392483061739635</v>
      </c>
      <c r="F13" s="2" t="n">
        <v>57.8</v>
      </c>
    </row>
    <row r="14">
      <c r="A14" t="inlineStr">
        <is>
          <t>fico_avg</t>
        </is>
      </c>
      <c r="B14" t="inlineStr">
        <is>
          <t>01: (667, 677]</t>
        </is>
      </c>
      <c r="C14" s="2" t="n">
        <v>73549</v>
      </c>
      <c r="D14" s="7" t="n">
        <v>0.206692137214646</v>
      </c>
      <c r="E14" s="7" t="n">
        <v>-0.2388996037898322</v>
      </c>
      <c r="F14" s="2" t="n">
        <v>60.4</v>
      </c>
    </row>
    <row r="15">
      <c r="A15" t="inlineStr">
        <is>
          <t>fico_avg</t>
        </is>
      </c>
      <c r="B15" t="inlineStr">
        <is>
          <t>02: (677, 682]</t>
        </is>
      </c>
      <c r="C15" s="2" t="n">
        <v>35467</v>
      </c>
      <c r="D15" s="7" t="n">
        <v>0.1986917416189697</v>
      </c>
      <c r="E15" s="7" t="n">
        <v>-0.1894184569386846</v>
      </c>
      <c r="F15" s="2" t="n">
        <v>61.7</v>
      </c>
    </row>
    <row r="16">
      <c r="A16" t="inlineStr">
        <is>
          <t>fico_avg</t>
        </is>
      </c>
      <c r="B16" t="inlineStr">
        <is>
          <t>03: (682, 692]</t>
        </is>
      </c>
      <c r="C16" s="2" t="n">
        <v>63404</v>
      </c>
      <c r="D16" s="7" t="n">
        <v>0.1816289193110845</v>
      </c>
      <c r="E16" s="7" t="n">
        <v>-0.07853983269385456</v>
      </c>
      <c r="F16" s="2" t="n">
        <v>64.59999999999999</v>
      </c>
    </row>
    <row r="17">
      <c r="A17" t="inlineStr">
        <is>
          <t>fico_avg</t>
        </is>
      </c>
      <c r="B17" t="inlineStr">
        <is>
          <t>04: (692, 702]</t>
        </is>
      </c>
      <c r="C17" s="2" t="n">
        <v>54086</v>
      </c>
      <c r="D17" s="7" t="n">
        <v>0.1647931072736013</v>
      </c>
      <c r="E17" s="7" t="n">
        <v>0.03908742162043159</v>
      </c>
      <c r="F17" s="2" t="n">
        <v>67.59999999999999</v>
      </c>
    </row>
    <row r="18">
      <c r="A18" t="inlineStr">
        <is>
          <t>fico_avg</t>
        </is>
      </c>
      <c r="B18" t="inlineStr">
        <is>
          <t>05: (702, 712]</t>
        </is>
      </c>
      <c r="C18" s="2" t="n">
        <v>42470</v>
      </c>
      <c r="D18" s="7" t="n">
        <v>0.1467388744996468</v>
      </c>
      <c r="E18" s="7" t="n">
        <v>0.1764883244831625</v>
      </c>
      <c r="F18" s="2" t="n">
        <v>71.2</v>
      </c>
    </row>
    <row r="19">
      <c r="A19" t="inlineStr">
        <is>
          <t>fico_avg</t>
        </is>
      </c>
      <c r="B19" t="inlineStr">
        <is>
          <t>06: (712, 732]</t>
        </is>
      </c>
      <c r="C19" s="2" t="n">
        <v>54850</v>
      </c>
      <c r="D19" s="7" t="n">
        <v>0.1256700091157703</v>
      </c>
      <c r="E19" s="7" t="n">
        <v>0.3558800347078657</v>
      </c>
      <c r="F19" s="2" t="n">
        <v>75.90000000000001</v>
      </c>
    </row>
    <row r="20">
      <c r="A20" t="inlineStr">
        <is>
          <t>fico_avg</t>
        </is>
      </c>
      <c r="B20" t="inlineStr">
        <is>
          <t>07: (732, inf]</t>
        </is>
      </c>
      <c r="C20" s="2" t="n">
        <v>55226</v>
      </c>
      <c r="D20" s="7" t="n">
        <v>0.08582913844928114</v>
      </c>
      <c r="E20" s="7" t="n">
        <v>0.7817071297436604</v>
      </c>
      <c r="F20" s="2" t="n">
        <v>87</v>
      </c>
    </row>
    <row r="21">
      <c r="A21" t="inlineStr">
        <is>
          <t>dti</t>
        </is>
      </c>
      <c r="B21" t="inlineStr">
        <is>
          <t>00: (-inf, 7.84]</t>
        </is>
      </c>
      <c r="C21" s="2" t="n">
        <v>56774</v>
      </c>
      <c r="D21" s="7" t="n">
        <v>0.1246345157994857</v>
      </c>
      <c r="E21" s="7" t="n">
        <v>0.3653390876779058</v>
      </c>
      <c r="F21" s="2" t="n">
        <v>71.7</v>
      </c>
    </row>
    <row r="22">
      <c r="A22" t="inlineStr">
        <is>
          <t>dti</t>
        </is>
      </c>
      <c r="B22" t="inlineStr">
        <is>
          <t>01: (7.84, 11.3]</t>
        </is>
      </c>
      <c r="C22" s="2" t="n">
        <v>56797</v>
      </c>
      <c r="D22" s="7" t="n">
        <v>0.1378946071095304</v>
      </c>
      <c r="E22" s="7" t="n">
        <v>0.248977995960941</v>
      </c>
      <c r="F22" s="2" t="n">
        <v>70.09999999999999</v>
      </c>
    </row>
    <row r="23">
      <c r="A23" t="inlineStr">
        <is>
          <t>dti</t>
        </is>
      </c>
      <c r="B23" t="inlineStr">
        <is>
          <t>02: (11.3, 14.11]</t>
        </is>
      </c>
      <c r="C23" s="2" t="n">
        <v>56769</v>
      </c>
      <c r="D23" s="7" t="n">
        <v>0.1472987017562402</v>
      </c>
      <c r="E23" s="7" t="n">
        <v>0.1720411062501258</v>
      </c>
      <c r="F23" s="2" t="n">
        <v>69</v>
      </c>
    </row>
    <row r="24">
      <c r="A24" t="inlineStr">
        <is>
          <t>dti</t>
        </is>
      </c>
      <c r="B24" t="inlineStr">
        <is>
          <t>03: (14.11, 16.8]</t>
        </is>
      </c>
      <c r="C24" s="2" t="n">
        <v>56837</v>
      </c>
      <c r="D24" s="7" t="n">
        <v>0.1583123669440681</v>
      </c>
      <c r="E24" s="7" t="n">
        <v>0.0869375326126782</v>
      </c>
      <c r="F24" s="2" t="n">
        <v>67.8</v>
      </c>
    </row>
    <row r="25">
      <c r="A25" t="inlineStr">
        <is>
          <t>dti</t>
        </is>
      </c>
      <c r="B25" t="inlineStr">
        <is>
          <t>04: (16.8, 19.57]</t>
        </is>
      </c>
      <c r="C25" s="2" t="n">
        <v>56509</v>
      </c>
      <c r="D25" s="7" t="n">
        <v>0.1735652727884054</v>
      </c>
      <c r="E25" s="7" t="n">
        <v>-0.02332930130488152</v>
      </c>
      <c r="F25" s="2" t="n">
        <v>66.3</v>
      </c>
    </row>
    <row r="26">
      <c r="A26" t="inlineStr">
        <is>
          <t>dti</t>
        </is>
      </c>
      <c r="B26" t="inlineStr">
        <is>
          <t>05: (19.57, 22.7]</t>
        </is>
      </c>
      <c r="C26" s="2" t="n">
        <v>56771</v>
      </c>
      <c r="D26" s="7" t="n">
        <v>0.1875253210265805</v>
      </c>
      <c r="E26" s="7" t="n">
        <v>-0.1177214859249209</v>
      </c>
      <c r="F26" s="2" t="n">
        <v>65</v>
      </c>
    </row>
    <row r="27">
      <c r="A27" t="inlineStr">
        <is>
          <t>dti</t>
        </is>
      </c>
      <c r="B27" t="inlineStr">
        <is>
          <t>06: (22.7, 26.8]</t>
        </is>
      </c>
      <c r="C27" s="2" t="n">
        <v>56636</v>
      </c>
      <c r="D27" s="7" t="n">
        <v>0.2023624549756339</v>
      </c>
      <c r="E27" s="7" t="n">
        <v>-0.2122949169788739</v>
      </c>
      <c r="F27" s="2" t="n">
        <v>63.7</v>
      </c>
    </row>
    <row r="28">
      <c r="A28" t="inlineStr">
        <is>
          <t>dti</t>
        </is>
      </c>
      <c r="B28" t="inlineStr">
        <is>
          <t>07: (26.8, inf]</t>
        </is>
      </c>
      <c r="C28" s="2" t="n">
        <v>56716</v>
      </c>
      <c r="D28" s="7" t="n">
        <v>0.2305874885393892</v>
      </c>
      <c r="E28" s="7" t="n">
        <v>-0.3788861010063065</v>
      </c>
      <c r="F28" s="2" t="n">
        <v>61.4</v>
      </c>
    </row>
    <row r="29">
      <c r="A29" t="inlineStr">
        <is>
          <t>verification_status</t>
        </is>
      </c>
      <c r="B29" t="inlineStr">
        <is>
          <t>Not Verified</t>
        </is>
      </c>
      <c r="C29" s="2" t="n">
        <v>144277</v>
      </c>
      <c r="D29" s="7" t="n">
        <v>0.129383061749274</v>
      </c>
      <c r="E29" s="7" t="n">
        <v>0.322545576647371</v>
      </c>
      <c r="F29" s="2" t="n">
        <v>68.8</v>
      </c>
    </row>
    <row r="30">
      <c r="A30" t="inlineStr">
        <is>
          <t>verification_status</t>
        </is>
      </c>
      <c r="B30" t="inlineStr">
        <is>
          <t>Source Verified</t>
        </is>
      </c>
      <c r="C30" s="2" t="n">
        <v>145271</v>
      </c>
      <c r="D30" s="7" t="n">
        <v>0.1887369123913238</v>
      </c>
      <c r="E30" s="7" t="n">
        <v>-0.1256318690228122</v>
      </c>
      <c r="F30" s="2" t="n">
        <v>65.8</v>
      </c>
    </row>
    <row r="31">
      <c r="A31" t="inlineStr">
        <is>
          <t>verification_status</t>
        </is>
      </c>
      <c r="B31" t="inlineStr">
        <is>
          <t>Verified</t>
        </is>
      </c>
      <c r="C31" s="2" t="n">
        <v>164261</v>
      </c>
      <c r="D31" s="7" t="n">
        <v>0.1897955083677806</v>
      </c>
      <c r="E31" s="7" t="n">
        <v>-0.1325290557562043</v>
      </c>
      <c r="F31" s="2" t="n">
        <v>65.7</v>
      </c>
    </row>
    <row r="32">
      <c r="A32" t="inlineStr">
        <is>
          <t>annual_inc</t>
        </is>
      </c>
      <c r="B32" t="inlineStr">
        <is>
          <t>00: (-inf, 3.5e+04]</t>
        </is>
      </c>
      <c r="C32" s="2" t="n">
        <v>56737</v>
      </c>
      <c r="D32" s="7" t="n">
        <v>0.2048222500308441</v>
      </c>
      <c r="E32" s="7" t="n">
        <v>-0.2274650263042503</v>
      </c>
      <c r="F32" s="2" t="n">
        <v>61.6</v>
      </c>
    </row>
    <row r="33">
      <c r="A33" t="inlineStr">
        <is>
          <t>annual_inc</t>
        </is>
      </c>
      <c r="B33" t="inlineStr">
        <is>
          <t>01: (3.5e+04, 4.5e+04]</t>
        </is>
      </c>
      <c r="C33" s="2" t="n">
        <v>62848</v>
      </c>
      <c r="D33" s="7" t="n">
        <v>0.1971423116089613</v>
      </c>
      <c r="E33" s="7" t="n">
        <v>-0.1796350623878317</v>
      </c>
      <c r="F33" s="2" t="n">
        <v>62.6</v>
      </c>
    </row>
    <row r="34">
      <c r="A34" t="inlineStr">
        <is>
          <t>annual_inc</t>
        </is>
      </c>
      <c r="B34" t="inlineStr">
        <is>
          <t>02: (4.5e+04, 5.35e+04]</t>
        </is>
      </c>
      <c r="C34" s="2" t="n">
        <v>50607</v>
      </c>
      <c r="D34" s="7" t="n">
        <v>0.18576481514415</v>
      </c>
      <c r="E34" s="7" t="n">
        <v>-0.1061294688024666</v>
      </c>
      <c r="F34" s="2" t="n">
        <v>64.3</v>
      </c>
    </row>
    <row r="35">
      <c r="A35" t="inlineStr">
        <is>
          <t>annual_inc</t>
        </is>
      </c>
      <c r="B35" t="inlineStr">
        <is>
          <t>03: (5.35e+04, 6.24e+04]</t>
        </is>
      </c>
      <c r="C35" s="2" t="n">
        <v>56926</v>
      </c>
      <c r="D35" s="7" t="n">
        <v>0.1841513543899097</v>
      </c>
      <c r="E35" s="7" t="n">
        <v>-0.09542230124055009</v>
      </c>
      <c r="F35" s="2" t="n">
        <v>64.5</v>
      </c>
    </row>
    <row r="36">
      <c r="A36" t="inlineStr">
        <is>
          <t>annual_inc</t>
        </is>
      </c>
      <c r="B36" t="inlineStr">
        <is>
          <t>04: (6.24e+04, 7.4e+04]</t>
        </is>
      </c>
      <c r="C36" s="2" t="n">
        <v>57145</v>
      </c>
      <c r="D36" s="7" t="n">
        <v>0.1687636713623239</v>
      </c>
      <c r="E36" s="7" t="n">
        <v>0.01051725611625825</v>
      </c>
      <c r="F36" s="2" t="n">
        <v>66.8</v>
      </c>
    </row>
    <row r="37">
      <c r="A37" t="inlineStr">
        <is>
          <t>annual_inc</t>
        </is>
      </c>
      <c r="B37" t="inlineStr">
        <is>
          <t>05: (7.4e+04, 8.8e+04]</t>
        </is>
      </c>
      <c r="C37" s="2" t="n">
        <v>56187</v>
      </c>
      <c r="D37" s="7" t="n">
        <v>0.1541815722498087</v>
      </c>
      <c r="E37" s="7" t="n">
        <v>0.1182703408809035</v>
      </c>
      <c r="F37" s="2" t="n">
        <v>69.2</v>
      </c>
    </row>
    <row r="38">
      <c r="A38" t="inlineStr">
        <is>
          <t>annual_inc</t>
        </is>
      </c>
      <c r="B38" t="inlineStr">
        <is>
          <t>06: (8.8e+04, 1.115e+05]</t>
        </is>
      </c>
      <c r="C38" s="2" t="n">
        <v>56635</v>
      </c>
      <c r="D38" s="7" t="n">
        <v>0.1407610135075483</v>
      </c>
      <c r="E38" s="7" t="n">
        <v>0.2250749138370107</v>
      </c>
      <c r="F38" s="2" t="n">
        <v>71.59999999999999</v>
      </c>
    </row>
    <row r="39">
      <c r="A39" t="inlineStr">
        <is>
          <t>annual_inc</t>
        </is>
      </c>
      <c r="B39" t="inlineStr">
        <is>
          <t>07: (1.115e+05, inf]</t>
        </is>
      </c>
      <c r="C39" s="2" t="n">
        <v>56720</v>
      </c>
      <c r="D39" s="7" t="n">
        <v>0.1249471086036671</v>
      </c>
      <c r="E39" s="7" t="n">
        <v>0.3624771112297631</v>
      </c>
      <c r="F39" s="2" t="n">
        <v>74.7</v>
      </c>
    </row>
    <row r="40">
      <c r="A40" t="inlineStr">
        <is>
          <t>annual_inc</t>
        </is>
      </c>
      <c r="B40" t="inlineStr">
        <is>
          <t>99: Missing</t>
        </is>
      </c>
      <c r="C40" s="2" t="n">
        <v>4</v>
      </c>
      <c r="D40" s="7" t="n">
        <v>0</v>
      </c>
      <c r="E40" s="7" t="n">
        <v>0.6133683486452758</v>
      </c>
      <c r="F40" s="2" t="n">
        <v>80.2</v>
      </c>
    </row>
    <row r="41">
      <c r="A41" t="inlineStr">
        <is>
          <t>inq_last_6mths</t>
        </is>
      </c>
      <c r="B41" t="inlineStr">
        <is>
          <t>00: (-inf, 0]</t>
        </is>
      </c>
      <c r="C41" s="2" t="n">
        <v>233873</v>
      </c>
      <c r="D41" s="7" t="n">
        <v>0.151364201938659</v>
      </c>
      <c r="E41" s="7" t="n">
        <v>0.1400734169310022</v>
      </c>
      <c r="F41" s="2" t="n">
        <v>70.90000000000001</v>
      </c>
    </row>
    <row r="42">
      <c r="A42" t="inlineStr">
        <is>
          <t>inq_last_6mths</t>
        </is>
      </c>
      <c r="B42" t="inlineStr">
        <is>
          <t>01: (0, 1]</t>
        </is>
      </c>
      <c r="C42" s="2" t="n">
        <v>127017</v>
      </c>
      <c r="D42" s="7" t="n">
        <v>0.1782832219309226</v>
      </c>
      <c r="E42" s="7" t="n">
        <v>-0.05585115459635161</v>
      </c>
      <c r="F42" s="2" t="n">
        <v>64.90000000000001</v>
      </c>
    </row>
    <row r="43">
      <c r="A43" t="inlineStr">
        <is>
          <t>inq_last_6mths</t>
        </is>
      </c>
      <c r="B43" t="inlineStr">
        <is>
          <t>02: (1, 2]</t>
        </is>
      </c>
      <c r="C43" s="2" t="n">
        <v>56686</v>
      </c>
      <c r="D43" s="7" t="n">
        <v>0.197738418657164</v>
      </c>
      <c r="E43" s="7" t="n">
        <v>-0.1834001635930267</v>
      </c>
      <c r="F43" s="2" t="n">
        <v>60.9</v>
      </c>
    </row>
    <row r="44">
      <c r="A44" t="inlineStr">
        <is>
          <t>inq_last_6mths</t>
        </is>
      </c>
      <c r="B44" t="inlineStr">
        <is>
          <t>03: (2, inf]</t>
        </is>
      </c>
      <c r="C44" s="2" t="n">
        <v>36204</v>
      </c>
      <c r="D44" s="7" t="n">
        <v>0.221080543586344</v>
      </c>
      <c r="E44" s="7" t="n">
        <v>-0.3245204039436172</v>
      </c>
      <c r="F44" s="2" t="n">
        <v>56.6</v>
      </c>
    </row>
    <row r="45">
      <c r="A45" t="inlineStr">
        <is>
          <t>inq_last_6mths</t>
        </is>
      </c>
      <c r="B45" t="inlineStr">
        <is>
          <t>99: Missing</t>
        </is>
      </c>
      <c r="C45" s="2" t="n">
        <v>29</v>
      </c>
      <c r="D45" s="7" t="n">
        <v>0.103448275862069</v>
      </c>
      <c r="E45" s="7" t="n">
        <v>0.4405255358058651</v>
      </c>
      <c r="F45" s="2" t="n">
        <v>80.2</v>
      </c>
    </row>
    <row r="46">
      <c r="A46" t="inlineStr">
        <is>
          <t>mort_acc</t>
        </is>
      </c>
      <c r="B46" t="inlineStr">
        <is>
          <t>00: (-inf, 0]</t>
        </is>
      </c>
      <c r="C46" s="2" t="n">
        <v>159585</v>
      </c>
      <c r="D46" s="7" t="n">
        <v>0.1943729047216217</v>
      </c>
      <c r="E46" s="7" t="n">
        <v>-0.1620259874753666</v>
      </c>
      <c r="F46" s="2" t="n">
        <v>63.2</v>
      </c>
    </row>
    <row r="47">
      <c r="A47" t="inlineStr">
        <is>
          <t>mort_acc</t>
        </is>
      </c>
      <c r="B47" t="inlineStr">
        <is>
          <t>01: (0, 1]</t>
        </is>
      </c>
      <c r="C47" s="2" t="n">
        <v>66196</v>
      </c>
      <c r="D47" s="7" t="n">
        <v>0.1752220677986585</v>
      </c>
      <c r="E47" s="7" t="n">
        <v>-0.03483012826921613</v>
      </c>
      <c r="F47" s="2" t="n">
        <v>65.90000000000001</v>
      </c>
    </row>
    <row r="48">
      <c r="A48" t="inlineStr">
        <is>
          <t>mort_acc</t>
        </is>
      </c>
      <c r="B48" t="inlineStr">
        <is>
          <t>02: (1, 2]</t>
        </is>
      </c>
      <c r="C48" s="2" t="n">
        <v>54802</v>
      </c>
      <c r="D48" s="7" t="n">
        <v>0.1636436626400496</v>
      </c>
      <c r="E48" s="7" t="n">
        <v>0.04746241596213408</v>
      </c>
      <c r="F48" s="2" t="n">
        <v>67.59999999999999</v>
      </c>
    </row>
    <row r="49">
      <c r="A49" t="inlineStr">
        <is>
          <t>mort_acc</t>
        </is>
      </c>
      <c r="B49" t="inlineStr">
        <is>
          <t>03: (2, 3]</t>
        </is>
      </c>
      <c r="C49" s="2" t="n">
        <v>42195</v>
      </c>
      <c r="D49" s="7" t="n">
        <v>0.1521270292688707</v>
      </c>
      <c r="E49" s="7" t="n">
        <v>0.1340947915447596</v>
      </c>
      <c r="F49" s="2" t="n">
        <v>69.40000000000001</v>
      </c>
    </row>
    <row r="50">
      <c r="A50" t="inlineStr">
        <is>
          <t>mort_acc</t>
        </is>
      </c>
      <c r="B50" t="inlineStr">
        <is>
          <t>04: (3, 4]</t>
        </is>
      </c>
      <c r="C50" s="2" t="n">
        <v>31778</v>
      </c>
      <c r="D50" s="7" t="n">
        <v>0.1489709862168796</v>
      </c>
      <c r="E50" s="7" t="n">
        <v>0.1587513043144536</v>
      </c>
      <c r="F50" s="2" t="n">
        <v>69.90000000000001</v>
      </c>
    </row>
    <row r="51">
      <c r="A51" t="inlineStr">
        <is>
          <t>mort_acc</t>
        </is>
      </c>
      <c r="B51" t="inlineStr">
        <is>
          <t>05: (4, inf]</t>
        </is>
      </c>
      <c r="C51" s="2" t="n">
        <v>49223</v>
      </c>
      <c r="D51" s="7" t="n">
        <v>0.1396704792475063</v>
      </c>
      <c r="E51" s="7" t="n">
        <v>0.2341124044726573</v>
      </c>
      <c r="F51" s="2" t="n">
        <v>71.5</v>
      </c>
    </row>
    <row r="52">
      <c r="A52" t="inlineStr">
        <is>
          <t>mort_acc</t>
        </is>
      </c>
      <c r="B52" t="inlineStr">
        <is>
          <t>99: Missing</t>
        </is>
      </c>
      <c r="C52" s="2" t="n">
        <v>50030</v>
      </c>
      <c r="D52" s="7" t="n">
        <v>0.1528482910253848</v>
      </c>
      <c r="E52" s="7" t="n">
        <v>0.1285241098217727</v>
      </c>
      <c r="F52" s="2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2026-10-01T21:30:26Z</dcterms:created>
  <dcterms:modified xsi:type="dcterms:W3CDTF">2026-10-01T21:30:26Z</dcterms:modified>
</cp:coreProperties>
</file>